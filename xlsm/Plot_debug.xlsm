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ata\Projects\AEPH-PrePost\post-process\xlsm\"/>
    </mc:Choice>
  </mc:AlternateContent>
  <xr:revisionPtr revIDLastSave="0" documentId="13_ncr:1_{B8E57BD2-49A1-4216-B308-08A99D7F69BE}" xr6:coauthVersionLast="47" xr6:coauthVersionMax="47" xr10:uidLastSave="{00000000-0000-0000-0000-000000000000}"/>
  <bookViews>
    <workbookView xWindow="-108" yWindow="-108" windowWidth="23256" windowHeight="12456" xr2:uid="{B5D84D52-9EEB-4E5B-8619-04F9BECF5DA4}"/>
  </bookViews>
  <sheets>
    <sheet name="Sheet1" sheetId="1" r:id="rId1"/>
  </sheets>
  <functionGroups builtInGroupCount="19"/>
  <definedNames>
    <definedName name="data1" localSheetId="0" hidden="1">Sheet1!$G:$J</definedName>
    <definedName name="data2" localSheetId="0" hidden="1">Sheet1!$K:$L</definedName>
    <definedName name="optionName1" localSheetId="0" hidden="1">Sheet1!$C$9:$C$14</definedName>
    <definedName name="optionName2" localSheetId="0" hidden="1">Sheet1!$C$23:$C$28</definedName>
    <definedName name="optionVal1" localSheetId="0" hidden="1">Sheet1!$D$9:$D$14</definedName>
    <definedName name="optionVal2" hidden="1">Sheet1!$D$23:$D$28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5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J26" i="1" s="1"/>
  <c r="H27" i="1"/>
  <c r="J27" i="1" s="1"/>
  <c r="H28" i="1"/>
  <c r="H29" i="1"/>
  <c r="H30" i="1"/>
  <c r="H31" i="1"/>
  <c r="H2" i="1"/>
  <c r="F1" i="1"/>
  <c r="J28" i="1"/>
  <c r="K25" i="1"/>
  <c r="L25" i="1"/>
  <c r="K26" i="1"/>
  <c r="L26" i="1"/>
  <c r="K27" i="1"/>
  <c r="L27" i="1"/>
  <c r="K28" i="1"/>
  <c r="L28" i="1"/>
  <c r="K29" i="1"/>
  <c r="L29" i="1"/>
  <c r="K30" i="1"/>
  <c r="L30" i="1"/>
  <c r="K31" i="1"/>
  <c r="L31" i="1"/>
  <c r="K20" i="1"/>
  <c r="L20" i="1"/>
  <c r="K21" i="1"/>
  <c r="L21" i="1"/>
  <c r="K22" i="1"/>
  <c r="L22" i="1"/>
  <c r="K23" i="1"/>
  <c r="L23" i="1"/>
  <c r="K24" i="1"/>
  <c r="L24" i="1"/>
  <c r="K3" i="1"/>
  <c r="L3" i="1"/>
  <c r="K4" i="1"/>
  <c r="L4" i="1"/>
  <c r="K5" i="1"/>
  <c r="L5" i="1"/>
  <c r="K6" i="1"/>
  <c r="L6" i="1"/>
  <c r="K7" i="1"/>
  <c r="L7" i="1"/>
  <c r="K8" i="1"/>
  <c r="L8" i="1"/>
  <c r="K9" i="1"/>
  <c r="L9" i="1"/>
  <c r="K10" i="1"/>
  <c r="L10" i="1"/>
  <c r="K11" i="1"/>
  <c r="L11" i="1"/>
  <c r="K12" i="1"/>
  <c r="L12" i="1"/>
  <c r="K13" i="1"/>
  <c r="L13" i="1"/>
  <c r="K14" i="1"/>
  <c r="L14" i="1"/>
  <c r="K15" i="1"/>
  <c r="L15" i="1"/>
  <c r="K16" i="1"/>
  <c r="L16" i="1"/>
  <c r="K17" i="1"/>
  <c r="L17" i="1"/>
  <c r="K18" i="1"/>
  <c r="L18" i="1"/>
  <c r="K19" i="1"/>
  <c r="L19" i="1"/>
  <c r="L2" i="1"/>
  <c r="K2" i="1"/>
  <c r="J16" i="1" l="1"/>
  <c r="J20" i="1"/>
  <c r="J12" i="1"/>
  <c r="J3" i="1"/>
  <c r="J9" i="1"/>
  <c r="J8" i="1"/>
  <c r="J7" i="1"/>
  <c r="J6" i="1"/>
  <c r="J4" i="1"/>
  <c r="J29" i="1" l="1"/>
  <c r="J31" i="1"/>
  <c r="J21" i="1"/>
  <c r="J15" i="1"/>
  <c r="J17" i="1"/>
  <c r="J18" i="1"/>
  <c r="J22" i="1"/>
  <c r="J30" i="1"/>
  <c r="J23" i="1"/>
  <c r="J19" i="1"/>
  <c r="J11" i="1"/>
  <c r="J13" i="1"/>
  <c r="J14" i="1"/>
  <c r="J24" i="1"/>
  <c r="J2" i="1"/>
  <c r="J10" i="1"/>
</calcChain>
</file>

<file path=xl/sharedStrings.xml><?xml version="1.0" encoding="utf-8"?>
<sst xmlns="http://schemas.openxmlformats.org/spreadsheetml/2006/main" count="43" uniqueCount="34">
  <si>
    <t>title</t>
    <phoneticPr fontId="1" type="noConversion"/>
  </si>
  <si>
    <t>Step 2: Select data for subplot 1</t>
    <phoneticPr fontId="1" type="noConversion"/>
  </si>
  <si>
    <t>xlabel</t>
    <phoneticPr fontId="1" type="noConversion"/>
  </si>
  <si>
    <t>x</t>
    <phoneticPr fontId="1" type="noConversion"/>
  </si>
  <si>
    <t>ylabel</t>
    <phoneticPr fontId="1" type="noConversion"/>
  </si>
  <si>
    <t>n</t>
    <phoneticPr fontId="1" type="noConversion"/>
  </si>
  <si>
    <t>y</t>
    <phoneticPr fontId="1" type="noConversion"/>
  </si>
  <si>
    <t>Step 3: Select data for subplot 2 (optional)</t>
    <phoneticPr fontId="1" type="noConversion"/>
  </si>
  <si>
    <t>data</t>
    <phoneticPr fontId="1" type="noConversion"/>
  </si>
  <si>
    <r>
      <t xml:space="preserve">Click to delete selection of subplot 2 </t>
    </r>
    <r>
      <rPr>
        <b/>
        <sz val="14"/>
        <color theme="2" tint="-0.249977111117893"/>
        <rFont val="Segoe UI Symbol"/>
        <family val="2"/>
      </rPr>
      <t>↘</t>
    </r>
    <phoneticPr fontId="1" type="noConversion"/>
  </si>
  <si>
    <r>
      <t xml:space="preserve">  </t>
    </r>
    <r>
      <rPr>
        <b/>
        <sz val="14"/>
        <color theme="2" tint="-0.249977111117893"/>
        <rFont val="Arial"/>
        <family val="2"/>
      </rPr>
      <t>←</t>
    </r>
    <r>
      <rPr>
        <b/>
        <sz val="14"/>
        <color theme="2" tint="-0.249977111117893"/>
        <rFont val="Segoe UI"/>
        <family val="2"/>
      </rPr>
      <t xml:space="preserve"> Fill in settings</t>
    </r>
    <phoneticPr fontId="1" type="noConversion"/>
  </si>
  <si>
    <r>
      <t xml:space="preserve">Click to select data </t>
    </r>
    <r>
      <rPr>
        <b/>
        <sz val="14"/>
        <color theme="2" tint="-0.249977111117893"/>
        <rFont val="Segoe UI Symbol"/>
        <family val="2"/>
      </rPr>
      <t>↗</t>
    </r>
    <phoneticPr fontId="1" type="noConversion"/>
  </si>
  <si>
    <t>axis</t>
    <phoneticPr fontId="1" type="noConversion"/>
  </si>
  <si>
    <t>s1</t>
    <phoneticPr fontId="1" type="noConversion"/>
  </si>
  <si>
    <t>s2</t>
    <phoneticPr fontId="1" type="noConversion"/>
  </si>
  <si>
    <t>s3</t>
    <phoneticPr fontId="1" type="noConversion"/>
  </si>
  <si>
    <t>stress</t>
    <phoneticPr fontId="1" type="noConversion"/>
  </si>
  <si>
    <t>node</t>
    <phoneticPr fontId="1" type="noConversion"/>
  </si>
  <si>
    <t>lineSpec</t>
    <phoneticPr fontId="1" type="noConversion"/>
  </si>
  <si>
    <t>o-</t>
    <phoneticPr fontId="1" type="noConversion"/>
  </si>
  <si>
    <t>Only support plotting adjacent cells.</t>
    <phoneticPr fontId="1" type="noConversion"/>
  </si>
  <si>
    <r>
      <t xml:space="preserve">Step 1: Paste your data to the right </t>
    </r>
    <r>
      <rPr>
        <b/>
        <sz val="14"/>
        <color theme="1"/>
        <rFont val="Arial"/>
        <family val="2"/>
      </rPr>
      <t>→</t>
    </r>
    <r>
      <rPr>
        <b/>
        <sz val="14"/>
        <color theme="1"/>
        <rFont val="Segoe UI"/>
        <family val="2"/>
      </rPr>
      <t xml:space="preserve"> </t>
    </r>
    <r>
      <rPr>
        <b/>
        <sz val="14"/>
        <color theme="1"/>
        <rFont val="Arial"/>
        <family val="2"/>
      </rPr>
      <t>→</t>
    </r>
    <phoneticPr fontId="1" type="noConversion"/>
  </si>
  <si>
    <t>grid</t>
    <phoneticPr fontId="1" type="noConversion"/>
  </si>
  <si>
    <t>equal padded</t>
    <phoneticPr fontId="1" type="noConversion"/>
  </si>
  <si>
    <t xml:space="preserve">       (or leave it blank)</t>
    <phoneticPr fontId="1" type="noConversion"/>
  </si>
  <si>
    <t>node number</t>
    <phoneticPr fontId="1" type="noConversion"/>
  </si>
  <si>
    <t>tight</t>
    <phoneticPr fontId="1" type="noConversion"/>
  </si>
  <si>
    <t>Click to plot now →</t>
    <phoneticPr fontId="1" type="noConversion"/>
  </si>
  <si>
    <t>(or continue to add another subplot ↓)</t>
    <phoneticPr fontId="1" type="noConversion"/>
  </si>
  <si>
    <t>\sigma (GPa)</t>
    <phoneticPr fontId="1" type="noConversion"/>
  </si>
  <si>
    <t>off</t>
    <phoneticPr fontId="1" type="noConversion"/>
  </si>
  <si>
    <r>
      <t xml:space="preserve">Click to generate plot </t>
    </r>
    <r>
      <rPr>
        <b/>
        <sz val="14"/>
        <color theme="2" tint="-0.249977111117893"/>
        <rFont val="Segoe UI Symbol"/>
        <family val="2"/>
      </rPr>
      <t>↗</t>
    </r>
    <phoneticPr fontId="1" type="noConversion"/>
  </si>
  <si>
    <t>G:J</t>
    <phoneticPr fontId="1" type="noConversion"/>
  </si>
  <si>
    <t>K:L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</si>
</sst>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4"/>
      <color theme="1"/>
      <name val="Arial"/>
      <family val="2"/>
      <charset val="136"/>
    </font>
    <font>
      <sz val="9"/>
      <name val="Arial"/>
      <family val="2"/>
      <charset val="136"/>
    </font>
    <font>
      <b/>
      <sz val="14"/>
      <color theme="1"/>
      <name val="Arial"/>
      <family val="2"/>
    </font>
    <font>
      <b/>
      <sz val="14"/>
      <color theme="2" tint="-0.249977111117893"/>
      <name val="Arial"/>
      <family val="2"/>
    </font>
    <font>
      <b/>
      <sz val="14"/>
      <color theme="2" tint="-0.249977111117893"/>
      <name val="Segoe UI Symbol"/>
      <family val="2"/>
    </font>
    <font>
      <b/>
      <sz val="14"/>
      <color theme="1"/>
      <name val="Segoe UI"/>
      <family val="2"/>
    </font>
    <font>
      <sz val="14"/>
      <color theme="1"/>
      <name val="Segoe UI"/>
      <family val="2"/>
    </font>
    <font>
      <sz val="14"/>
      <color theme="2" tint="-0.249977111117893"/>
      <name val="Segoe UI"/>
      <family val="2"/>
    </font>
    <font>
      <sz val="14"/>
      <color theme="1" tint="0.499984740745262"/>
      <name val="Segoe UI"/>
      <family val="2"/>
    </font>
    <font>
      <b/>
      <sz val="14"/>
      <color theme="2" tint="-0.249977111117893"/>
      <name val="Segoe UI"/>
      <family val="2"/>
    </font>
    <font>
      <sz val="14"/>
      <color theme="5" tint="0.39997558519241921"/>
      <name val="Segoe UI"/>
      <family val="2"/>
    </font>
    <font>
      <b/>
      <sz val="14"/>
      <color theme="0"/>
      <name val="Segoe UI"/>
      <family val="2"/>
    </font>
    <font>
      <sz val="14"/>
      <color theme="2" tint="-0.499984740745262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6" fillId="2" borderId="0" xfId="0" applyFont="1" applyFill="1">
      <alignment vertical="center"/>
    </xf>
    <xf numFmtId="0" fontId="6" fillId="2" borderId="0" xfId="0" applyFont="1" applyFill="1" applyAlignment="1">
      <alignment horizontal="center" vertical="center"/>
    </xf>
    <xf numFmtId="0" fontId="12" fillId="2" borderId="2" xfId="0" quotePrefix="1" applyFont="1" applyFill="1" applyBorder="1" applyAlignment="1">
      <alignment horizontal="right"/>
    </xf>
    <xf numFmtId="0" fontId="6" fillId="0" borderId="0" xfId="0" applyFont="1">
      <alignment vertical="center"/>
    </xf>
    <xf numFmtId="0" fontId="6" fillId="0" borderId="0" xfId="0" quotePrefix="1" applyFont="1">
      <alignment vertical="center"/>
    </xf>
    <xf numFmtId="0" fontId="5" fillId="2" borderId="0" xfId="0" applyFont="1" applyFill="1">
      <alignment vertical="center"/>
    </xf>
    <xf numFmtId="0" fontId="7" fillId="2" borderId="2" xfId="0" applyFont="1" applyFill="1" applyBorder="1" applyAlignment="1">
      <alignment horizontal="right" vertical="center"/>
    </xf>
    <xf numFmtId="0" fontId="8" fillId="2" borderId="0" xfId="0" applyFont="1" applyFill="1">
      <alignment vertical="center"/>
    </xf>
    <xf numFmtId="0" fontId="6" fillId="2" borderId="2" xfId="0" applyFont="1" applyFill="1" applyBorder="1">
      <alignment vertical="center"/>
    </xf>
    <xf numFmtId="0" fontId="9" fillId="2" borderId="0" xfId="0" applyFont="1" applyFill="1" applyAlignment="1">
      <alignment horizontal="right" vertical="center"/>
    </xf>
    <xf numFmtId="0" fontId="11" fillId="5" borderId="1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right" vertical="center"/>
    </xf>
    <xf numFmtId="0" fontId="11" fillId="5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right" vertical="center"/>
    </xf>
    <xf numFmtId="0" fontId="11" fillId="5" borderId="6" xfId="0" applyFont="1" applyFill="1" applyBorder="1" applyAlignment="1">
      <alignment horizontal="center" vertical="center"/>
    </xf>
    <xf numFmtId="0" fontId="9" fillId="2" borderId="0" xfId="0" applyFont="1" applyFill="1">
      <alignment vertical="center"/>
    </xf>
    <xf numFmtId="0" fontId="12" fillId="2" borderId="0" xfId="0" applyFont="1" applyFill="1">
      <alignment vertical="center"/>
    </xf>
    <xf numFmtId="0" fontId="11" fillId="5" borderId="7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right"/>
    </xf>
    <xf numFmtId="0" fontId="12" fillId="2" borderId="0" xfId="0" applyFont="1" applyFill="1" applyAlignment="1">
      <alignment horizontal="right" vertical="top"/>
    </xf>
    <xf numFmtId="0" fontId="11" fillId="4" borderId="1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11" fillId="4" borderId="6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right" vertical="center"/>
    </xf>
    <xf numFmtId="0" fontId="6" fillId="3" borderId="3" xfId="0" quotePrefix="1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D5D"/>
      <color rgb="FFFFA7A7"/>
      <color rgb="FFFF6D6D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22860</xdr:colOff>
      <xdr:row>27</xdr:row>
      <xdr:rowOff>7620</xdr:rowOff>
    </xdr:from>
    <xdr:to>
      <xdr:col>5</xdr:col>
      <xdr:colOff>982980</xdr:colOff>
      <xdr:row>28</xdr:row>
      <xdr:rowOff>60960</xdr:rowOff>
    </xdr:to>
    <xdr:sp macro="[0]!Plo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12FA891-9AC8-0EB6-1A63-BC0A6E64A9BE}"/>
            </a:ext>
          </a:extLst>
        </xdr:cNvPr>
        <xdr:cNvSpPr/>
      </xdr:nvSpPr>
      <xdr:spPr>
        <a:xfrm>
          <a:off x="4853940" y="7208520"/>
          <a:ext cx="960120" cy="32004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altLang="zh-TW" sz="14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Plot</a:t>
          </a:r>
          <a:endParaRPr lang="zh-TW" altLang="en-US" sz="1400" b="1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5</xdr:col>
      <xdr:colOff>22860</xdr:colOff>
      <xdr:row>4</xdr:row>
      <xdr:rowOff>30480</xdr:rowOff>
    </xdr:from>
    <xdr:to>
      <xdr:col>5</xdr:col>
      <xdr:colOff>982980</xdr:colOff>
      <xdr:row>5</xdr:row>
      <xdr:rowOff>83820</xdr:rowOff>
    </xdr:to>
    <xdr:sp macro="[0]!OnClickSelect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A3C35F56-51AE-4257-B7E7-E99CDAD3E7C4}"/>
            </a:ext>
          </a:extLst>
        </xdr:cNvPr>
        <xdr:cNvSpPr/>
      </xdr:nvSpPr>
      <xdr:spPr>
        <a:xfrm>
          <a:off x="4853940" y="1097280"/>
          <a:ext cx="960120" cy="320040"/>
        </a:xfrm>
        <a:prstGeom prst="roundRect">
          <a:avLst/>
        </a:prstGeom>
        <a:solidFill>
          <a:srgbClr val="5B9BD5">
            <a:lumMod val="20000"/>
            <a:lumOff val="80000"/>
          </a:srgbClr>
        </a:solidFill>
        <a:ln w="12700" cap="flat" cmpd="sng" algn="ctr">
          <a:noFill/>
          <a:prstDash val="solid"/>
          <a:miter lim="800000"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altLang="zh-TW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新細明體" panose="02020500000000000000" pitchFamily="18" charset="-120"/>
              <a:cs typeface="Segoe UI" panose="020B0502040204020203" pitchFamily="34" charset="0"/>
            </a:rPr>
            <a:t>Select</a:t>
          </a:r>
          <a:endParaRPr kumimoji="0" lang="zh-TW" altLang="en-US" sz="14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Segoe UI" panose="020B0502040204020203" pitchFamily="34" charset="0"/>
            <a:ea typeface="新細明體" panose="02020500000000000000" pitchFamily="18" charset="-12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5</xdr:col>
      <xdr:colOff>22860</xdr:colOff>
      <xdr:row>17</xdr:row>
      <xdr:rowOff>0</xdr:rowOff>
    </xdr:from>
    <xdr:to>
      <xdr:col>5</xdr:col>
      <xdr:colOff>982980</xdr:colOff>
      <xdr:row>18</xdr:row>
      <xdr:rowOff>53340</xdr:rowOff>
    </xdr:to>
    <xdr:sp macro="[0]!OnClickSelect2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B51BD05F-649D-4779-B6AD-E8F6F8DDA712}"/>
            </a:ext>
          </a:extLst>
        </xdr:cNvPr>
        <xdr:cNvSpPr/>
      </xdr:nvSpPr>
      <xdr:spPr>
        <a:xfrm>
          <a:off x="4716780" y="3771900"/>
          <a:ext cx="960120" cy="320040"/>
        </a:xfrm>
        <a:prstGeom prst="roundRect">
          <a:avLst/>
        </a:prstGeom>
        <a:solidFill>
          <a:srgbClr val="5B9BD5">
            <a:lumMod val="20000"/>
            <a:lumOff val="80000"/>
          </a:srgbClr>
        </a:solidFill>
        <a:ln w="12700" cap="flat" cmpd="sng" algn="ctr">
          <a:noFill/>
          <a:prstDash val="solid"/>
          <a:miter lim="800000"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altLang="zh-TW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新細明體" panose="02020500000000000000" pitchFamily="18" charset="-120"/>
              <a:cs typeface="Segoe UI" panose="020B0502040204020203" pitchFamily="34" charset="0"/>
            </a:rPr>
            <a:t>Select</a:t>
          </a:r>
          <a:endParaRPr kumimoji="0" lang="zh-TW" altLang="en-US" sz="14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Segoe UI" panose="020B0502040204020203" pitchFamily="34" charset="0"/>
            <a:ea typeface="新細明體" panose="02020500000000000000" pitchFamily="18" charset="-12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5</xdr:col>
      <xdr:colOff>22860</xdr:colOff>
      <xdr:row>18</xdr:row>
      <xdr:rowOff>182880</xdr:rowOff>
    </xdr:from>
    <xdr:to>
      <xdr:col>5</xdr:col>
      <xdr:colOff>982980</xdr:colOff>
      <xdr:row>19</xdr:row>
      <xdr:rowOff>236220</xdr:rowOff>
    </xdr:to>
    <xdr:sp macro="[0]!OnClickClear2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16CB2EB-4FD6-4B07-8699-DE8EE82AC554}"/>
            </a:ext>
          </a:extLst>
        </xdr:cNvPr>
        <xdr:cNvSpPr/>
      </xdr:nvSpPr>
      <xdr:spPr>
        <a:xfrm>
          <a:off x="4716780" y="4206240"/>
          <a:ext cx="960120" cy="320040"/>
        </a:xfrm>
        <a:prstGeom prst="roundRect">
          <a:avLst/>
        </a:prstGeom>
        <a:solidFill>
          <a:srgbClr val="F5F5F5"/>
        </a:solidFill>
        <a:ln w="12700" cap="flat" cmpd="sng" algn="ctr">
          <a:noFill/>
          <a:prstDash val="solid"/>
          <a:miter lim="800000"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altLang="zh-TW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新細明體" panose="02020500000000000000" pitchFamily="18" charset="-120"/>
              <a:cs typeface="Segoe UI" panose="020B0502040204020203" pitchFamily="34" charset="0"/>
            </a:rPr>
            <a:t>Clear</a:t>
          </a:r>
          <a:endParaRPr kumimoji="0" lang="zh-TW" altLang="en-US" sz="14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Segoe UI" panose="020B0502040204020203" pitchFamily="34" charset="0"/>
            <a:ea typeface="新細明體" panose="02020500000000000000" pitchFamily="18" charset="-120"/>
            <a:cs typeface="Segoe UI" panose="020B0502040204020203" pitchFamily="34" charset="0"/>
          </a:endParaRPr>
        </a:p>
      </xdr:txBody>
    </xdr:sp>
    <xdr:clientData/>
  </xdr:twoCellAnchor>
  <xdr:oneCellAnchor>
    <xdr:from>
      <xdr:col>5</xdr:col>
      <xdr:colOff>22860</xdr:colOff>
      <xdr:row>13</xdr:row>
      <xdr:rowOff>205740</xdr:rowOff>
    </xdr:from>
    <xdr:ext cx="960120" cy="320040"/>
    <xdr:sp macro="[0]!Plo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A7D128F-30B9-4DA1-945D-63AE30556A97}"/>
            </a:ext>
          </a:extLst>
        </xdr:cNvPr>
        <xdr:cNvSpPr/>
      </xdr:nvSpPr>
      <xdr:spPr>
        <a:xfrm>
          <a:off x="4853940" y="7673340"/>
          <a:ext cx="960120" cy="32004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altLang="zh-TW" sz="14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Plot</a:t>
          </a:r>
          <a:endParaRPr lang="zh-TW" altLang="en-US" sz="1400" b="1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82C2A-85B7-4162-A73D-7726B92DDC72}">
  <sheetPr codeName="Sheet1">
    <pageSetUpPr autoPageBreaks="0"/>
  </sheetPr>
  <dimension ref="A1:M31"/>
  <sheetViews>
    <sheetView tabSelected="1" zoomScale="110" zoomScaleNormal="110" workbookViewId="0">
      <selection activeCell="H5" sqref="H5"/>
    </sheetView>
  </sheetViews>
  <sheetFormatPr defaultRowHeight="21" customHeight="1" x14ac:dyDescent="0.3"/>
  <cols>
    <col min="1" max="1" width="0.69140625" style="1" customWidth="1"/>
    <col min="2" max="2" width="2.15234375" style="1" customWidth="1"/>
    <col min="3" max="3" width="10.53515625" style="2" customWidth="1"/>
    <col min="4" max="4" width="18.765625" style="2" customWidth="1"/>
    <col min="5" max="5" width="12.23046875" style="1" customWidth="1"/>
    <col min="6" max="6" width="10.921875" style="9" customWidth="1"/>
    <col min="7" max="10" width="9.23046875" style="4"/>
    <col min="11" max="12" width="9.23046875" style="4" customWidth="1"/>
    <col min="13" max="16384" width="9.23046875" style="4"/>
  </cols>
  <sheetData>
    <row r="1" spans="2:13" ht="21" customHeight="1" x14ac:dyDescent="0.45">
      <c r="F1" s="3" t="str">
        <f>"Headers (optional) →  "</f>
        <v xml:space="preserve">Headers (optional) →  </v>
      </c>
      <c r="G1" s="4" t="s">
        <v>5</v>
      </c>
      <c r="H1" s="4" t="s">
        <v>13</v>
      </c>
      <c r="I1" s="4" t="s">
        <v>14</v>
      </c>
      <c r="J1" s="4" t="s">
        <v>15</v>
      </c>
      <c r="K1" s="4" t="s">
        <v>3</v>
      </c>
      <c r="L1" s="5" t="s">
        <v>6</v>
      </c>
      <c r="M1" s="5"/>
    </row>
    <row r="2" spans="2:13" ht="21" customHeight="1" x14ac:dyDescent="0.3">
      <c r="B2" s="6" t="s">
        <v>21</v>
      </c>
      <c r="F2" s="7"/>
      <c r="G2" s="4">
        <v>1</v>
      </c>
      <c r="H2" s="4">
        <f>K2+L2</f>
        <v>1.1441228056353687</v>
      </c>
      <c r="I2" s="4">
        <f>H2+K2^2</f>
        <v>2.1196510637829453</v>
      </c>
      <c r="J2" s="4">
        <f>EXP(-H2+L2) + L2^3</f>
        <v>0.37626486719525526</v>
      </c>
      <c r="K2" s="4">
        <f>COS(G2*0.05*PI())</f>
        <v>0.98768834059513777</v>
      </c>
      <c r="L2" s="4">
        <f>SIN(G2*0.05*PI())</f>
        <v>0.15643446504023087</v>
      </c>
      <c r="M2" s="5"/>
    </row>
    <row r="3" spans="2:13" ht="21" customHeight="1" x14ac:dyDescent="0.3">
      <c r="C3" s="8" t="s">
        <v>20</v>
      </c>
      <c r="F3" s="7"/>
      <c r="G3" s="4">
        <v>2</v>
      </c>
      <c r="H3" s="4">
        <f t="shared" ref="H3:H31" si="0">K3+L3</f>
        <v>1.2600735106701009</v>
      </c>
      <c r="I3" s="4">
        <f t="shared" ref="I3:I31" si="1">H3+K3^2</f>
        <v>2.1645820078575744</v>
      </c>
      <c r="J3" s="4">
        <f t="shared" ref="J3:J10" si="2">EXP(-H3+L3) + L3^3</f>
        <v>0.41584113821802099</v>
      </c>
      <c r="K3" s="4">
        <f t="shared" ref="K3:K10" si="3">COS(G3*0.05*PI())</f>
        <v>0.95105651629515353</v>
      </c>
      <c r="L3" s="4">
        <f t="shared" ref="L3:L10" si="4">SIN(G3*0.05*PI())</f>
        <v>0.3090169943749474</v>
      </c>
      <c r="M3" s="5"/>
    </row>
    <row r="4" spans="2:13" ht="21" customHeight="1" x14ac:dyDescent="0.3">
      <c r="G4" s="4">
        <v>3</v>
      </c>
      <c r="H4" s="4">
        <f t="shared" si="0"/>
        <v>1.3449970239279148</v>
      </c>
      <c r="I4" s="4">
        <f t="shared" si="1"/>
        <v>2.1388896500741517</v>
      </c>
      <c r="J4" s="4">
        <f t="shared" si="2"/>
        <v>0.50381341540602165</v>
      </c>
      <c r="K4" s="4">
        <f t="shared" si="3"/>
        <v>0.8910065241883679</v>
      </c>
      <c r="L4" s="4">
        <f t="shared" si="4"/>
        <v>0.4539904997395468</v>
      </c>
      <c r="M4" s="5"/>
    </row>
    <row r="5" spans="2:13" ht="21" customHeight="1" x14ac:dyDescent="0.3">
      <c r="B5" s="6" t="s">
        <v>1</v>
      </c>
      <c r="G5" s="4">
        <v>4</v>
      </c>
      <c r="H5" s="4">
        <f t="shared" si="0"/>
        <v>1.3968022466674206</v>
      </c>
      <c r="I5" s="4">
        <f t="shared" si="1"/>
        <v>2.0513107438548941</v>
      </c>
      <c r="K5" s="4">
        <f t="shared" si="3"/>
        <v>0.80901699437494745</v>
      </c>
      <c r="L5" s="4">
        <f t="shared" si="4"/>
        <v>0.58778525229247314</v>
      </c>
      <c r="M5" s="5"/>
    </row>
    <row r="6" spans="2:13" ht="21" customHeight="1" x14ac:dyDescent="0.3">
      <c r="E6" s="10" t="s">
        <v>11</v>
      </c>
      <c r="G6" s="4">
        <v>5</v>
      </c>
      <c r="H6" s="4">
        <f t="shared" si="0"/>
        <v>1.4142135623730949</v>
      </c>
      <c r="I6" s="4">
        <f t="shared" si="1"/>
        <v>1.9142135623730949</v>
      </c>
      <c r="J6" s="4">
        <f t="shared" si="2"/>
        <v>0.84662208198851352</v>
      </c>
      <c r="K6" s="4">
        <f t="shared" si="3"/>
        <v>0.70710678118654757</v>
      </c>
      <c r="L6" s="4">
        <f t="shared" si="4"/>
        <v>0.70710678118654746</v>
      </c>
      <c r="M6" s="5"/>
    </row>
    <row r="7" spans="2:13" ht="21" customHeight="1" x14ac:dyDescent="0.3">
      <c r="C7" s="11" t="s">
        <v>8</v>
      </c>
      <c r="D7" s="12" t="s">
        <v>32</v>
      </c>
      <c r="G7" s="4">
        <v>6</v>
      </c>
      <c r="H7" s="4">
        <f t="shared" si="0"/>
        <v>1.3968022466674204</v>
      </c>
      <c r="I7" s="4">
        <f t="shared" si="1"/>
        <v>1.7422937494799466</v>
      </c>
      <c r="J7" s="4">
        <f t="shared" si="2"/>
        <v>1.0850648375267204</v>
      </c>
      <c r="K7" s="4">
        <f t="shared" si="3"/>
        <v>0.58778525229247303</v>
      </c>
      <c r="L7" s="4">
        <f t="shared" si="4"/>
        <v>0.80901699437494745</v>
      </c>
      <c r="M7" s="5"/>
    </row>
    <row r="8" spans="2:13" ht="21" customHeight="1" x14ac:dyDescent="0.3">
      <c r="D8" s="13"/>
      <c r="F8" s="14"/>
      <c r="G8" s="4">
        <v>7</v>
      </c>
      <c r="H8" s="4">
        <f t="shared" si="0"/>
        <v>1.3449970239279145</v>
      </c>
      <c r="I8" s="4">
        <f t="shared" si="1"/>
        <v>1.5511043977816781</v>
      </c>
      <c r="J8" s="4">
        <f t="shared" si="2"/>
        <v>1.3424522761272966</v>
      </c>
      <c r="K8" s="4">
        <f t="shared" si="3"/>
        <v>0.4539904997395468</v>
      </c>
      <c r="L8" s="4">
        <f t="shared" si="4"/>
        <v>0.89100652418836779</v>
      </c>
      <c r="M8" s="5"/>
    </row>
    <row r="9" spans="2:13" ht="21" customHeight="1" x14ac:dyDescent="0.3">
      <c r="C9" s="15" t="s">
        <v>0</v>
      </c>
      <c r="D9" s="16" t="s">
        <v>16</v>
      </c>
      <c r="F9" s="17"/>
      <c r="G9" s="4">
        <v>8</v>
      </c>
      <c r="H9" s="4">
        <f t="shared" si="0"/>
        <v>1.2600735106701011</v>
      </c>
      <c r="I9" s="4">
        <f t="shared" si="1"/>
        <v>1.3555650134826274</v>
      </c>
      <c r="J9" s="4">
        <f t="shared" si="2"/>
        <v>1.5944069934834799</v>
      </c>
      <c r="K9" s="4">
        <f t="shared" si="3"/>
        <v>0.30901699437494745</v>
      </c>
      <c r="L9" s="4">
        <f t="shared" si="4"/>
        <v>0.95105651629515353</v>
      </c>
      <c r="M9" s="5"/>
    </row>
    <row r="10" spans="2:13" ht="21" customHeight="1" x14ac:dyDescent="0.3">
      <c r="C10" s="18" t="s">
        <v>2</v>
      </c>
      <c r="D10" s="16" t="s">
        <v>25</v>
      </c>
      <c r="G10" s="4">
        <v>9</v>
      </c>
      <c r="H10" s="4">
        <f t="shared" si="0"/>
        <v>1.1441228056353687</v>
      </c>
      <c r="I10" s="4">
        <f t="shared" si="1"/>
        <v>1.1685945474877919</v>
      </c>
      <c r="J10" s="4">
        <f t="shared" si="2"/>
        <v>1.8187054470423281</v>
      </c>
      <c r="K10" s="4">
        <f t="shared" si="3"/>
        <v>0.15643446504023092</v>
      </c>
      <c r="L10" s="4">
        <f t="shared" si="4"/>
        <v>0.98768834059513777</v>
      </c>
      <c r="M10" s="5"/>
    </row>
    <row r="11" spans="2:13" ht="21" customHeight="1" x14ac:dyDescent="0.3">
      <c r="C11" s="18" t="s">
        <v>4</v>
      </c>
      <c r="D11" s="16" t="s">
        <v>29</v>
      </c>
      <c r="E11" s="19" t="s">
        <v>10</v>
      </c>
      <c r="G11" s="4">
        <v>10</v>
      </c>
      <c r="H11" s="4">
        <f t="shared" si="0"/>
        <v>1</v>
      </c>
      <c r="I11" s="4">
        <f t="shared" si="1"/>
        <v>1</v>
      </c>
      <c r="J11" s="4">
        <f>EXP(-H11+L11) + L11^3</f>
        <v>2</v>
      </c>
      <c r="K11" s="4">
        <f t="shared" ref="K11:K19" si="5">COS(G11*0.05*PI())</f>
        <v>6.1257422745431001E-17</v>
      </c>
      <c r="L11" s="4">
        <f t="shared" ref="L11:L19" si="6">SIN(G11*0.05*PI())</f>
        <v>1</v>
      </c>
      <c r="M11" s="5"/>
    </row>
    <row r="12" spans="2:13" ht="21" customHeight="1" x14ac:dyDescent="0.3">
      <c r="C12" s="18" t="s">
        <v>18</v>
      </c>
      <c r="D12" s="16"/>
      <c r="E12" s="20" t="s">
        <v>24</v>
      </c>
      <c r="G12" s="4">
        <v>11</v>
      </c>
      <c r="H12" s="4">
        <f t="shared" si="0"/>
        <v>0.8312538755549066</v>
      </c>
      <c r="I12" s="4">
        <f t="shared" si="1"/>
        <v>0.85572561740732989</v>
      </c>
      <c r="J12" s="4">
        <f>EXP(-H12+L12) + L12^3</f>
        <v>2.132852014036382</v>
      </c>
      <c r="K12" s="4">
        <f t="shared" si="5"/>
        <v>-0.15643446504023104</v>
      </c>
      <c r="L12" s="4">
        <f t="shared" si="6"/>
        <v>0.98768834059513766</v>
      </c>
      <c r="M12" s="5"/>
    </row>
    <row r="13" spans="2:13" ht="21" customHeight="1" x14ac:dyDescent="0.3">
      <c r="C13" s="18" t="s">
        <v>22</v>
      </c>
      <c r="D13" s="16"/>
      <c r="E13" s="19"/>
      <c r="G13" s="4">
        <v>12</v>
      </c>
      <c r="H13" s="4">
        <f t="shared" si="0"/>
        <v>0.64203952192020597</v>
      </c>
      <c r="I13" s="4">
        <f t="shared" si="1"/>
        <v>0.73753102473273235</v>
      </c>
      <c r="J13" s="4">
        <f>EXP(-H13+L13) + L13^3</f>
        <v>2.2223242183932204</v>
      </c>
      <c r="K13" s="4">
        <f t="shared" si="5"/>
        <v>-0.30901699437494756</v>
      </c>
      <c r="L13" s="4">
        <f t="shared" si="6"/>
        <v>0.95105651629515353</v>
      </c>
      <c r="M13" s="5"/>
    </row>
    <row r="14" spans="2:13" ht="21" customHeight="1" x14ac:dyDescent="0.3">
      <c r="C14" s="21" t="s">
        <v>12</v>
      </c>
      <c r="D14" s="16" t="s">
        <v>26</v>
      </c>
      <c r="G14" s="4">
        <v>13</v>
      </c>
      <c r="H14" s="4">
        <f t="shared" si="0"/>
        <v>0.43701602444882121</v>
      </c>
      <c r="I14" s="4">
        <f t="shared" si="1"/>
        <v>0.64312339830258458</v>
      </c>
      <c r="J14" s="4">
        <f>EXP(-H14+L14) + L14^3</f>
        <v>2.2819465478563243</v>
      </c>
      <c r="K14" s="4">
        <f t="shared" si="5"/>
        <v>-0.45399049973954669</v>
      </c>
      <c r="L14" s="4">
        <f t="shared" si="6"/>
        <v>0.8910065241883679</v>
      </c>
      <c r="M14" s="5"/>
    </row>
    <row r="15" spans="2:13" ht="21" customHeight="1" x14ac:dyDescent="0.45">
      <c r="E15" s="22" t="s">
        <v>27</v>
      </c>
      <c r="G15" s="4">
        <v>14</v>
      </c>
      <c r="H15" s="4">
        <f t="shared" si="0"/>
        <v>0.22123174208247443</v>
      </c>
      <c r="I15" s="4">
        <f t="shared" si="1"/>
        <v>0.56672324489500059</v>
      </c>
      <c r="J15" s="4">
        <f>EXP(-H15+L15) + L15^3</f>
        <v>2.329505954491907</v>
      </c>
      <c r="K15" s="4">
        <f t="shared" si="5"/>
        <v>-0.58778525229247303</v>
      </c>
      <c r="L15" s="4">
        <f t="shared" si="6"/>
        <v>0.80901699437494745</v>
      </c>
      <c r="M15" s="5"/>
    </row>
    <row r="16" spans="2:13" ht="21" customHeight="1" x14ac:dyDescent="0.3">
      <c r="E16" s="23" t="s">
        <v>28</v>
      </c>
      <c r="G16" s="4">
        <v>15</v>
      </c>
      <c r="H16" s="4">
        <f t="shared" si="0"/>
        <v>0</v>
      </c>
      <c r="I16" s="4">
        <f t="shared" si="1"/>
        <v>0.49999999999999989</v>
      </c>
      <c r="J16" s="4">
        <f t="shared" ref="J16:J19" si="7">EXP(-H16+L16) + L16^3</f>
        <v>2.3816683722407466</v>
      </c>
      <c r="K16" s="4">
        <f t="shared" si="5"/>
        <v>-0.70710678118654746</v>
      </c>
      <c r="L16" s="4">
        <f t="shared" si="6"/>
        <v>0.70710678118654757</v>
      </c>
      <c r="M16" s="5"/>
    </row>
    <row r="17" spans="2:13" ht="21" customHeight="1" x14ac:dyDescent="0.3">
      <c r="G17" s="4">
        <v>16</v>
      </c>
      <c r="H17" s="4">
        <f t="shared" si="0"/>
        <v>-0.22123174208247409</v>
      </c>
      <c r="I17" s="4">
        <f t="shared" si="1"/>
        <v>0.43327675510499952</v>
      </c>
      <c r="J17" s="4">
        <f t="shared" si="7"/>
        <v>2.4487741763475586</v>
      </c>
      <c r="K17" s="4">
        <f t="shared" si="5"/>
        <v>-0.80901699437494734</v>
      </c>
      <c r="L17" s="4">
        <f t="shared" si="6"/>
        <v>0.58778525229247325</v>
      </c>
      <c r="M17" s="5"/>
    </row>
    <row r="18" spans="2:13" ht="21" customHeight="1" x14ac:dyDescent="0.3">
      <c r="B18" s="6" t="s">
        <v>7</v>
      </c>
      <c r="G18" s="4">
        <v>17</v>
      </c>
      <c r="H18" s="4">
        <f t="shared" si="0"/>
        <v>-0.43701602444882154</v>
      </c>
      <c r="I18" s="4">
        <f t="shared" si="1"/>
        <v>0.35687660169741525</v>
      </c>
      <c r="J18" s="4">
        <f t="shared" si="7"/>
        <v>2.531152691759436</v>
      </c>
      <c r="K18" s="4">
        <f t="shared" si="5"/>
        <v>-0.89100652418836801</v>
      </c>
      <c r="L18" s="4">
        <f t="shared" si="6"/>
        <v>0.45399049973954647</v>
      </c>
      <c r="M18" s="5"/>
    </row>
    <row r="19" spans="2:13" ht="21" customHeight="1" x14ac:dyDescent="0.45">
      <c r="B19" s="6"/>
      <c r="E19" s="22" t="s">
        <v>9</v>
      </c>
      <c r="G19" s="4">
        <v>18</v>
      </c>
      <c r="H19" s="4">
        <f t="shared" si="0"/>
        <v>-0.64203952192020597</v>
      </c>
      <c r="I19" s="4">
        <f t="shared" si="1"/>
        <v>0.26246897526726765</v>
      </c>
      <c r="J19" s="4">
        <f t="shared" si="7"/>
        <v>2.6179514445203398</v>
      </c>
      <c r="K19" s="4">
        <f t="shared" si="5"/>
        <v>-0.95105651629515353</v>
      </c>
      <c r="L19" s="4">
        <f t="shared" si="6"/>
        <v>0.30901699437494751</v>
      </c>
      <c r="M19" s="5"/>
    </row>
    <row r="20" spans="2:13" ht="21" customHeight="1" x14ac:dyDescent="0.3">
      <c r="G20" s="4">
        <v>19</v>
      </c>
      <c r="H20" s="4">
        <f t="shared" si="0"/>
        <v>-0.83125387555490671</v>
      </c>
      <c r="I20" s="4">
        <f t="shared" si="1"/>
        <v>0.14427438259266989</v>
      </c>
      <c r="J20" s="4">
        <f t="shared" ref="J20:J31" si="8">EXP(-H20+L20) + L20^3</f>
        <v>2.6888486638462088</v>
      </c>
      <c r="K20" s="4">
        <f t="shared" ref="K20:K24" si="9">COS(G20*0.05*PI())</f>
        <v>-0.98768834059513766</v>
      </c>
      <c r="L20" s="4">
        <f t="shared" ref="L20:L24" si="10">SIN(G20*0.05*PI())</f>
        <v>0.15643446504023098</v>
      </c>
      <c r="M20" s="5"/>
    </row>
    <row r="21" spans="2:13" ht="21" customHeight="1" x14ac:dyDescent="0.3">
      <c r="C21" s="24" t="s">
        <v>8</v>
      </c>
      <c r="D21" s="12" t="s">
        <v>33</v>
      </c>
      <c r="G21" s="4">
        <v>20</v>
      </c>
      <c r="H21" s="4">
        <f t="shared" si="0"/>
        <v>-0.99999999999999989</v>
      </c>
      <c r="I21" s="4">
        <f t="shared" si="1"/>
        <v>0</v>
      </c>
      <c r="J21" s="4">
        <f t="shared" si="8"/>
        <v>2.7182818284590451</v>
      </c>
      <c r="K21" s="4">
        <f t="shared" si="9"/>
        <v>-1</v>
      </c>
      <c r="L21" s="4">
        <f t="shared" si="10"/>
        <v>1.22514845490862E-16</v>
      </c>
      <c r="M21" s="5"/>
    </row>
    <row r="22" spans="2:13" ht="21" customHeight="1" x14ac:dyDescent="0.3">
      <c r="G22" s="4">
        <v>21</v>
      </c>
      <c r="H22" s="4">
        <f t="shared" si="0"/>
        <v>-1.1441228056353685</v>
      </c>
      <c r="I22" s="4">
        <f t="shared" si="1"/>
        <v>-0.16859454748779168</v>
      </c>
      <c r="J22" s="4">
        <f t="shared" si="8"/>
        <v>2.6811922161556363</v>
      </c>
      <c r="K22" s="4">
        <f t="shared" si="9"/>
        <v>-0.98768834059513777</v>
      </c>
      <c r="L22" s="4">
        <f t="shared" si="10"/>
        <v>-0.15643446504023073</v>
      </c>
      <c r="M22" s="5"/>
    </row>
    <row r="23" spans="2:13" ht="21" customHeight="1" x14ac:dyDescent="0.3">
      <c r="C23" s="25" t="s">
        <v>0</v>
      </c>
      <c r="D23" s="16" t="s">
        <v>17</v>
      </c>
      <c r="G23" s="4">
        <v>22</v>
      </c>
      <c r="H23" s="4">
        <f t="shared" si="0"/>
        <v>-1.2600735106701013</v>
      </c>
      <c r="I23" s="4">
        <f t="shared" si="1"/>
        <v>-0.3555650134826277</v>
      </c>
      <c r="J23" s="4">
        <f t="shared" si="8"/>
        <v>2.5589344501453932</v>
      </c>
      <c r="K23" s="4">
        <f t="shared" si="9"/>
        <v>-0.95105651629515353</v>
      </c>
      <c r="L23" s="4">
        <f t="shared" si="10"/>
        <v>-0.30901699437494773</v>
      </c>
      <c r="M23" s="5"/>
    </row>
    <row r="24" spans="2:13" ht="21" customHeight="1" x14ac:dyDescent="0.3">
      <c r="C24" s="26" t="s">
        <v>2</v>
      </c>
      <c r="D24" s="16" t="s">
        <v>3</v>
      </c>
      <c r="E24" s="27"/>
      <c r="G24" s="4">
        <v>23</v>
      </c>
      <c r="H24" s="4">
        <f t="shared" si="0"/>
        <v>-1.3449970239279148</v>
      </c>
      <c r="I24" s="4">
        <f t="shared" si="1"/>
        <v>-0.55110439778167852</v>
      </c>
      <c r="J24" s="4">
        <f t="shared" si="8"/>
        <v>2.3440111124476837</v>
      </c>
      <c r="K24" s="4">
        <f t="shared" si="9"/>
        <v>-0.89100652418836768</v>
      </c>
      <c r="L24" s="4">
        <f t="shared" si="10"/>
        <v>-0.45399049973954708</v>
      </c>
      <c r="M24" s="5"/>
    </row>
    <row r="25" spans="2:13" ht="21" customHeight="1" x14ac:dyDescent="0.3">
      <c r="C25" s="26" t="s">
        <v>4</v>
      </c>
      <c r="D25" s="16" t="s">
        <v>6</v>
      </c>
      <c r="G25" s="4">
        <v>24</v>
      </c>
      <c r="H25" s="4">
        <f t="shared" si="0"/>
        <v>-1.3968022466674206</v>
      </c>
      <c r="I25" s="4">
        <f t="shared" si="1"/>
        <v>-0.7422937494799472</v>
      </c>
      <c r="J25" s="4">
        <f t="shared" si="8"/>
        <v>2.0426245560564249</v>
      </c>
      <c r="K25" s="4">
        <f t="shared" ref="K25:K31" si="11">COS(G25*0.05*PI())</f>
        <v>-0.80901699437494723</v>
      </c>
      <c r="L25" s="4">
        <f t="shared" ref="L25:L31" si="12">SIN(G25*0.05*PI())</f>
        <v>-0.58778525229247336</v>
      </c>
      <c r="M25" s="5"/>
    </row>
    <row r="26" spans="2:13" ht="21" customHeight="1" x14ac:dyDescent="0.3">
      <c r="C26" s="26" t="s">
        <v>18</v>
      </c>
      <c r="D26" s="28" t="s">
        <v>19</v>
      </c>
      <c r="G26" s="4">
        <v>25</v>
      </c>
      <c r="H26" s="4">
        <f t="shared" si="0"/>
        <v>-1.4142135623730951</v>
      </c>
      <c r="I26" s="4">
        <f t="shared" si="1"/>
        <v>-0.91421356237309492</v>
      </c>
      <c r="J26" s="4">
        <f t="shared" si="8"/>
        <v>1.6745615910541989</v>
      </c>
      <c r="K26" s="4">
        <f t="shared" si="11"/>
        <v>-0.70710678118654768</v>
      </c>
      <c r="L26" s="4">
        <f t="shared" si="12"/>
        <v>-0.70710678118654746</v>
      </c>
      <c r="M26" s="5"/>
    </row>
    <row r="27" spans="2:13" ht="21" customHeight="1" x14ac:dyDescent="0.3">
      <c r="C27" s="26" t="s">
        <v>22</v>
      </c>
      <c r="D27" s="28" t="s">
        <v>30</v>
      </c>
      <c r="G27" s="4">
        <v>26</v>
      </c>
      <c r="H27" s="4">
        <f t="shared" si="0"/>
        <v>-1.3968022466674206</v>
      </c>
      <c r="I27" s="4">
        <f t="shared" si="1"/>
        <v>-1.0513107438548941</v>
      </c>
      <c r="J27" s="4">
        <f t="shared" si="8"/>
        <v>1.27048896011696</v>
      </c>
      <c r="K27" s="4">
        <f t="shared" si="11"/>
        <v>-0.58778525229247325</v>
      </c>
      <c r="L27" s="4">
        <f t="shared" si="12"/>
        <v>-0.80901699437494734</v>
      </c>
      <c r="M27" s="5"/>
    </row>
    <row r="28" spans="2:13" ht="21" customHeight="1" x14ac:dyDescent="0.3">
      <c r="C28" s="29" t="s">
        <v>12</v>
      </c>
      <c r="D28" s="16" t="s">
        <v>23</v>
      </c>
      <c r="G28" s="4">
        <v>27</v>
      </c>
      <c r="H28" s="4">
        <f t="shared" si="0"/>
        <v>-1.3449970239279148</v>
      </c>
      <c r="I28" s="4">
        <f t="shared" si="1"/>
        <v>-1.1388896500741512</v>
      </c>
      <c r="J28" s="4">
        <f t="shared" si="8"/>
        <v>0.86721952905365784</v>
      </c>
      <c r="K28" s="4">
        <f t="shared" si="11"/>
        <v>-0.45399049973954692</v>
      </c>
      <c r="L28" s="4">
        <f t="shared" si="12"/>
        <v>-0.89100652418836779</v>
      </c>
      <c r="M28" s="5"/>
    </row>
    <row r="29" spans="2:13" ht="21" customHeight="1" x14ac:dyDescent="0.45">
      <c r="E29" s="22" t="s">
        <v>31</v>
      </c>
      <c r="G29" s="4">
        <v>28</v>
      </c>
      <c r="H29" s="4">
        <f t="shared" si="0"/>
        <v>-1.2600735106701011</v>
      </c>
      <c r="I29" s="4">
        <f t="shared" si="1"/>
        <v>-1.1645820078575748</v>
      </c>
      <c r="J29" s="4">
        <f t="shared" si="8"/>
        <v>0.50184681780425389</v>
      </c>
      <c r="K29" s="4">
        <f t="shared" si="11"/>
        <v>-0.30901699437494756</v>
      </c>
      <c r="L29" s="4">
        <f t="shared" si="12"/>
        <v>-0.95105651629515353</v>
      </c>
      <c r="M29" s="5"/>
    </row>
    <row r="30" spans="2:13" ht="21" customHeight="1" x14ac:dyDescent="0.3">
      <c r="B30" s="6"/>
      <c r="G30" s="4">
        <v>29</v>
      </c>
      <c r="H30" s="4">
        <f t="shared" si="0"/>
        <v>-1.1441228056353681</v>
      </c>
      <c r="I30" s="4">
        <f t="shared" si="1"/>
        <v>-1.1196510637829451</v>
      </c>
      <c r="J30" s="4">
        <f t="shared" si="8"/>
        <v>0.20581624104949015</v>
      </c>
      <c r="K30" s="4">
        <f t="shared" si="11"/>
        <v>-0.15643446504023018</v>
      </c>
      <c r="L30" s="4">
        <f t="shared" si="12"/>
        <v>-0.98768834059513788</v>
      </c>
      <c r="M30" s="5"/>
    </row>
    <row r="31" spans="2:13" ht="21" customHeight="1" x14ac:dyDescent="0.3">
      <c r="G31" s="4">
        <v>30</v>
      </c>
      <c r="H31" s="4">
        <f t="shared" si="0"/>
        <v>-1.0000000000000002</v>
      </c>
      <c r="I31" s="4">
        <f t="shared" si="1"/>
        <v>-1.0000000000000002</v>
      </c>
      <c r="J31" s="4">
        <f t="shared" si="8"/>
        <v>0</v>
      </c>
      <c r="K31" s="4">
        <f t="shared" si="11"/>
        <v>-1.83772268236293E-16</v>
      </c>
      <c r="L31" s="4">
        <f t="shared" si="12"/>
        <v>-1</v>
      </c>
      <c r="M31" s="5"/>
    </row>
  </sheetData>
  <sheetProtection formatCells="0" formatColumns="0" formatRows="0" insertColumns="0" insertRows="0" deleteColumns="0" deleteRows="0" sort="0" autoFilter="0"/>
  <dataConsolidate/>
  <phoneticPr fontId="1" type="noConversion"/>
  <pageMargins left="0.25" right="0.25" top="0.75" bottom="0.75" header="0.3" footer="0.3"/>
  <pageSetup paperSize="8" orientation="landscape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2023-08-28T02:19:48Z</cp:lastPrinted>
  <dcterms:created xsi:type="dcterms:W3CDTF">2023-08-25T05:42:54Z</dcterms:created>
  <dcterms:modified xsi:type="dcterms:W3CDTF">2023-08-30T04:25:42Z</dcterms:modified>
</cp:coreProperties>
</file>