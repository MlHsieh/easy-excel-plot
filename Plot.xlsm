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Matlab\excel-plot\"/>
    </mc:Choice>
  </mc:AlternateContent>
  <xr:revisionPtr revIDLastSave="0" documentId="13_ncr:1_{3DF1658A-3FAC-431B-B243-5B29AFE8C186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>Sheet1!$G$1:$J$34</definedName>
    <definedName name="data2" localSheetId="0">Sheet1!$K$1:$L$34</definedName>
    <definedName name="optionName1" localSheetId="0">Sheet1!$C$9:$C$14</definedName>
    <definedName name="optionName2" localSheetId="0">Sheet1!$C$21:$C$26</definedName>
    <definedName name="optionVal1" localSheetId="0">Sheet1!$D$9:$D$14</definedName>
    <definedName name="optionVal2">Sheet1!$D$21:$D$26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" l="1"/>
  <c r="H25" i="1"/>
  <c r="I25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20" i="1"/>
  <c r="L20" i="1"/>
  <c r="K21" i="1"/>
  <c r="L21" i="1"/>
  <c r="K22" i="1"/>
  <c r="L22" i="1"/>
  <c r="K23" i="1"/>
  <c r="L23" i="1"/>
  <c r="K24" i="1"/>
  <c r="L24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L2" i="1"/>
  <c r="K2" i="1"/>
  <c r="D19" i="1"/>
  <c r="D7" i="1"/>
  <c r="H26" i="1" l="1"/>
  <c r="H31" i="1"/>
  <c r="I31" i="1" s="1"/>
  <c r="H22" i="1"/>
  <c r="I22" i="1" s="1"/>
  <c r="H18" i="1"/>
  <c r="I18" i="1" s="1"/>
  <c r="H29" i="1"/>
  <c r="I29" i="1" s="1"/>
  <c r="H16" i="1"/>
  <c r="J16" i="1" s="1"/>
  <c r="H15" i="1"/>
  <c r="I15" i="1" s="1"/>
  <c r="H17" i="1"/>
  <c r="I17" i="1" s="1"/>
  <c r="H21" i="1"/>
  <c r="I21" i="1" s="1"/>
  <c r="H28" i="1"/>
  <c r="I28" i="1" s="1"/>
  <c r="H20" i="1"/>
  <c r="J20" i="1" s="1"/>
  <c r="H27" i="1"/>
  <c r="I27" i="1" s="1"/>
  <c r="H14" i="1"/>
  <c r="I14" i="1" s="1"/>
  <c r="H30" i="1"/>
  <c r="I30" i="1" s="1"/>
  <c r="H13" i="1"/>
  <c r="I13" i="1" s="1"/>
  <c r="H34" i="1"/>
  <c r="I34" i="1" s="1"/>
  <c r="H33" i="1"/>
  <c r="I33" i="1" s="1"/>
  <c r="H24" i="1"/>
  <c r="I24" i="1" s="1"/>
  <c r="H19" i="1"/>
  <c r="I19" i="1" s="1"/>
  <c r="H11" i="1"/>
  <c r="I11" i="1" s="1"/>
  <c r="H32" i="1"/>
  <c r="I32" i="1" s="1"/>
  <c r="H23" i="1"/>
  <c r="I23" i="1" s="1"/>
  <c r="H2" i="1"/>
  <c r="I2" i="1" s="1"/>
  <c r="H12" i="1"/>
  <c r="J12" i="1" s="1"/>
  <c r="H3" i="1"/>
  <c r="J3" i="1" s="1"/>
  <c r="H9" i="1"/>
  <c r="J9" i="1" s="1"/>
  <c r="H8" i="1"/>
  <c r="J8" i="1" s="1"/>
  <c r="H7" i="1"/>
  <c r="J7" i="1" s="1"/>
  <c r="H6" i="1"/>
  <c r="J6" i="1" s="1"/>
  <c r="H5" i="1"/>
  <c r="J5" i="1" s="1"/>
  <c r="H4" i="1"/>
  <c r="J4" i="1" s="1"/>
  <c r="H10" i="1"/>
  <c r="J29" i="1" l="1"/>
  <c r="J31" i="1"/>
  <c r="I26" i="1"/>
  <c r="J21" i="1"/>
  <c r="J15" i="1"/>
  <c r="J17" i="1"/>
  <c r="J18" i="1"/>
  <c r="I16" i="1"/>
  <c r="J22" i="1"/>
  <c r="J30" i="1"/>
  <c r="J23" i="1"/>
  <c r="I20" i="1"/>
  <c r="J19" i="1"/>
  <c r="J33" i="1"/>
  <c r="J11" i="1"/>
  <c r="J34" i="1"/>
  <c r="J13" i="1"/>
  <c r="J14" i="1"/>
  <c r="J24" i="1"/>
  <c r="J32" i="1"/>
  <c r="J2" i="1"/>
  <c r="I9" i="1"/>
  <c r="I7" i="1"/>
  <c r="I8" i="1"/>
  <c r="I10" i="1"/>
  <c r="J10" i="1"/>
  <c r="I3" i="1"/>
  <c r="I5" i="1"/>
  <c r="I12" i="1"/>
  <c r="I6" i="1"/>
  <c r="I4" i="1"/>
</calcChain>
</file>

<file path=xl/sharedStrings.xml><?xml version="1.0" encoding="utf-8"?>
<sst xmlns="http://schemas.openxmlformats.org/spreadsheetml/2006/main" count="43" uniqueCount="34">
  <si>
    <t>title</t>
    <phoneticPr fontId="1" type="noConversion"/>
  </si>
  <si>
    <t>Step 4: Plot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</si>
  <si>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</si>
  <si>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</si>
  <si>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</si>
  <si>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</si>
  <si>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</si>
  <si>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</si>
  <si>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</si>
  <si>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</si>
  <si>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Click to delete selection of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</si>
  <si>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</si>
  <si>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</si>
  <si>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</si>
  <si>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Click to generate plot →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</si>
  <si>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</si>
  <si>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</si>
  <si>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</si>
  <si>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</si>
  <si>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</si>
  <si>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</si>
  <si>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</si>
  <si>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t>Only support plotting adjacent cells.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</si>
  <si>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</si>
  <si>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on</t>
    <phoneticPr fontId="1" type="noConversion"/>
  </si>
  <si>
    <t>grid</t>
    <phoneticPr fontId="1" type="noConversion"/>
  </si>
  <si>
    <t>equal padded</t>
    <phoneticPr fontId="1" type="noConversion"/>
  </si>
  <si>
    <t xml:space="preserve">       (or leave it blank)</t>
    <phoneticPr fontId="1" type="noConversion"/>
  </si>
  <si>
    <t xml:space="preserve">Select the range of data  </t>
    <phoneticPr fontId="1" type="noConversion"/>
  </si>
  <si>
    <t xml:space="preserve">(not entire columns!) </t>
    <phoneticPr fontId="1" type="noConversion"/>
  </si>
  <si>
    <r>
      <t xml:space="preserve">Headers (optional) </t>
    </r>
    <r>
      <rPr>
        <b/>
        <sz val="14"/>
        <color theme="2" tint="-0.249977111117893"/>
        <rFont val="Segoe UI Semibold"/>
        <family val="2"/>
      </rPr>
      <t xml:space="preserve">→  </t>
    </r>
    <phoneticPr fontId="1" type="noConversion"/>
  </si>
  <si>
    <t>node number</t>
    <phoneticPr fontId="1" type="noConversion"/>
  </si>
  <si>
    <t>\sigma (Gpa)</t>
    <phoneticPr fontId="1" type="noConversion"/>
  </si>
  <si>
    <t>tight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</si>
</sst>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emibold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7" fillId="0" borderId="0" xfId="0" applyFont="1">
      <alignment vertical="center"/>
    </xf>
    <xf numFmtId="0" fontId="7" fillId="2" borderId="0" xfId="0" applyFont="1" applyFill="1">
      <alignment vertical="center"/>
    </xf>
    <xf numFmtId="0" fontId="7" fillId="2" borderId="0" xfId="0" applyFont="1" applyFill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0" fontId="6" fillId="2" borderId="0" xfId="0" applyFont="1" applyFill="1">
      <alignment vertical="center"/>
    </xf>
    <xf numFmtId="0" fontId="8" fillId="2" borderId="2" xfId="0" applyFont="1" applyFill="1" applyBorder="1" applyAlignment="1">
      <alignment horizontal="right" vertical="center"/>
    </xf>
    <xf numFmtId="0" fontId="9" fillId="2" borderId="0" xfId="0" applyFont="1" applyFill="1">
      <alignment vertical="center"/>
    </xf>
    <xf numFmtId="0" fontId="7" fillId="2" borderId="2" xfId="0" applyFont="1" applyFill="1" applyBorder="1">
      <alignment vertic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>
      <alignment vertical="center"/>
    </xf>
    <xf numFmtId="0" fontId="11" fillId="2" borderId="0" xfId="0" applyFont="1" applyFill="1" applyAlignment="1">
      <alignment horizontal="right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quotePrefix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0" fontId="10" fillId="2" borderId="2" xfId="0" quotePrefix="1" applyFont="1" applyFill="1" applyBorder="1" applyAlignment="1">
      <alignment horizontal="right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7" fillId="0" borderId="0" xfId="0" quotePrefix="1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26</xdr:row>
      <xdr:rowOff>205740</xdr:rowOff>
    </xdr:from>
    <xdr:to>
      <xdr:col>5</xdr:col>
      <xdr:colOff>982980</xdr:colOff>
      <xdr:row>27</xdr:row>
      <xdr:rowOff>259080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2FA891-9AC8-0EB6-1A63-BC0A6E64A9BE}"/>
            </a:ext>
          </a:extLst>
        </xdr:cNvPr>
        <xdr:cNvSpPr/>
      </xdr:nvSpPr>
      <xdr:spPr>
        <a:xfrm>
          <a:off x="4716780" y="674370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7620</xdr:rowOff>
    </xdr:from>
    <xdr:to>
      <xdr:col>5</xdr:col>
      <xdr:colOff>982980</xdr:colOff>
      <xdr:row>5</xdr:row>
      <xdr:rowOff>60960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C35F56-51AE-4257-B7E7-E99CDAD3E7C4}"/>
            </a:ext>
          </a:extLst>
        </xdr:cNvPr>
        <xdr:cNvSpPr/>
      </xdr:nvSpPr>
      <xdr:spPr>
        <a:xfrm>
          <a:off x="4716780" y="101346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15</xdr:row>
      <xdr:rowOff>0</xdr:rowOff>
    </xdr:from>
    <xdr:to>
      <xdr:col>5</xdr:col>
      <xdr:colOff>982980</xdr:colOff>
      <xdr:row>16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1BD05F-649D-4779-B6AD-E8F6F8DDA712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16</xdr:row>
      <xdr:rowOff>182880</xdr:rowOff>
    </xdr:from>
    <xdr:to>
      <xdr:col>5</xdr:col>
      <xdr:colOff>982980</xdr:colOff>
      <xdr:row>17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6CB2EB-4FD6-4B07-8699-DE8EE82AC554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/>
  <dimension ref="A1:M34"/>
  <sheetViews>
    <sheetView tabSelected="1" zoomScaleNormal="100" workbookViewId="0">
      <selection activeCell="L6" sqref="L6"/>
    </sheetView>
  </sheetViews>
  <sheetFormatPr defaultRowHeight="21" customHeight="1" x14ac:dyDescent="0.3"/>
  <cols>
    <col min="1" max="1" width="1.23046875" style="2" customWidth="1"/>
    <col min="2" max="2" width="3.53515625" style="2" customWidth="1"/>
    <col min="3" max="3" width="10.53515625" style="3" customWidth="1"/>
    <col min="4" max="4" width="18.765625" style="3" customWidth="1"/>
    <col min="5" max="5" width="14.69140625" style="2" customWidth="1"/>
    <col min="6" max="6" width="11.23046875" style="8" customWidth="1"/>
    <col min="7" max="10" width="9.23046875" style="1"/>
    <col min="11" max="12" width="9.23046875" style="1" customWidth="1"/>
    <col min="13" max="16384" width="9.23046875" style="1"/>
  </cols>
  <sheetData>
    <row r="1" spans="2:13" ht="21" customHeight="1" x14ac:dyDescent="0.3">
      <c r="F1" s="16" t="s">
        <v>30</v>
      </c>
      <c r="G1" s="1" t="s">
        <v>6</v>
      </c>
      <c r="H1" s="1" t="s">
        <v>15</v>
      </c>
      <c r="I1" s="1" t="s">
        <v>16</v>
      </c>
      <c r="J1" s="1" t="s">
        <v>17</v>
      </c>
      <c r="K1" s="1" t="s">
        <v>4</v>
      </c>
      <c r="L1" s="25" t="s">
        <v>7</v>
      </c>
      <c r="M1" s="25"/>
    </row>
    <row r="2" spans="2:13" ht="21" customHeight="1" x14ac:dyDescent="0.3">
      <c r="B2" s="5" t="s">
        <v>23</v>
      </c>
      <c r="F2" s="6"/>
      <c r="G2" s="1">
        <v>1</v>
      </c>
      <c r="H2" s="1">
        <f>K2^2+L2^3</f>
        <v>0.97935648199286329</v>
      </c>
      <c r="I2" s="1">
        <f>H2+K2</f>
        <v>1.9670448225880011</v>
      </c>
      <c r="J2" s="1">
        <f>EXP(-H2+L2) + L2^3</f>
        <v>0.44297480800336125</v>
      </c>
      <c r="K2" s="1">
        <f>COS(G2*0.05*PI())</f>
        <v>0.98768834059513777</v>
      </c>
      <c r="L2" s="1">
        <f>SIN(G2*0.05*PI())</f>
        <v>0.15643446504023087</v>
      </c>
    </row>
    <row r="3" spans="2:13" ht="21" customHeight="1" x14ac:dyDescent="0.3">
      <c r="B3" s="7" t="s">
        <v>22</v>
      </c>
      <c r="F3" s="6"/>
      <c r="G3" s="1">
        <v>2</v>
      </c>
      <c r="H3" s="1">
        <f t="shared" ref="H3:H10" si="0">K3^2+L3^3</f>
        <v>0.93401699437494734</v>
      </c>
      <c r="I3" s="1">
        <f t="shared" ref="I3:I10" si="1">H3+K3</f>
        <v>1.8850735106701009</v>
      </c>
      <c r="J3" s="1">
        <f t="shared" ref="J3:J10" si="2">EXP(-H3+L3) + L3^3</f>
        <v>0.564769925706464</v>
      </c>
      <c r="K3" s="1">
        <f t="shared" ref="K3:K10" si="3">COS(G3*0.05*PI())</f>
        <v>0.95105651629515353</v>
      </c>
      <c r="L3" s="1">
        <f t="shared" ref="L3:L10" si="4">SIN(G3*0.05*PI())</f>
        <v>0.3090169943749474</v>
      </c>
    </row>
    <row r="4" spans="2:13" ht="21" customHeight="1" x14ac:dyDescent="0.3">
      <c r="G4" s="1">
        <v>3</v>
      </c>
      <c r="H4" s="1">
        <f t="shared" si="0"/>
        <v>0.88746341580211241</v>
      </c>
      <c r="I4" s="1">
        <f t="shared" si="1"/>
        <v>1.7784699399904804</v>
      </c>
      <c r="J4" s="1">
        <f t="shared" si="2"/>
        <v>0.7418246393004484</v>
      </c>
      <c r="K4" s="1">
        <f t="shared" si="3"/>
        <v>0.8910065241883679</v>
      </c>
      <c r="L4" s="1">
        <f t="shared" si="4"/>
        <v>0.4539904997395468</v>
      </c>
    </row>
    <row r="5" spans="2:13" ht="21" customHeight="1" x14ac:dyDescent="0.3">
      <c r="B5" s="5" t="s">
        <v>2</v>
      </c>
      <c r="G5" s="1">
        <v>4</v>
      </c>
      <c r="H5" s="1">
        <f t="shared" si="0"/>
        <v>0.85758330733304011</v>
      </c>
      <c r="I5" s="1">
        <f t="shared" si="1"/>
        <v>1.6666003017079876</v>
      </c>
      <c r="J5" s="1">
        <f t="shared" si="2"/>
        <v>0.96660848069046557</v>
      </c>
      <c r="K5" s="1">
        <f t="shared" si="3"/>
        <v>0.80901699437494745</v>
      </c>
      <c r="L5" s="1">
        <f t="shared" si="4"/>
        <v>0.58778525229247314</v>
      </c>
    </row>
    <row r="6" spans="2:13" ht="21" customHeight="1" x14ac:dyDescent="0.3">
      <c r="E6" s="9" t="s">
        <v>12</v>
      </c>
      <c r="G6" s="1">
        <v>5</v>
      </c>
      <c r="H6" s="1">
        <f t="shared" si="0"/>
        <v>0.85355339059327373</v>
      </c>
      <c r="I6" s="1">
        <f t="shared" si="1"/>
        <v>1.5606601717798214</v>
      </c>
      <c r="J6" s="1">
        <f t="shared" si="2"/>
        <v>1.217325238988382</v>
      </c>
      <c r="K6" s="1">
        <f t="shared" si="3"/>
        <v>0.70710678118654757</v>
      </c>
      <c r="L6" s="1">
        <f t="shared" si="4"/>
        <v>0.70710678118654746</v>
      </c>
    </row>
    <row r="7" spans="2:13" ht="21" customHeight="1" x14ac:dyDescent="0.3">
      <c r="C7" s="17" t="s">
        <v>9</v>
      </c>
      <c r="D7" s="12" t="str">
        <f>IFERROR(ADDRESS(ROW(Sheet1!data1),COLUMN(Sheet1!data1), 4)&amp;":"&amp;ADDRESS(ROW(Sheet1!data1) + ROWS(Sheet1!data1) -1,COLUMN(Sheet1!data1) + COLUMNS(Sheet1!data1) -1, 4), "--")</f>
        <v>G1:J34</v>
      </c>
      <c r="G7" s="1">
        <v>6</v>
      </c>
      <c r="H7" s="1">
        <f t="shared" si="0"/>
        <v>0.87499999999999989</v>
      </c>
      <c r="I7" s="1">
        <f t="shared" si="1"/>
        <v>1.4627852522924729</v>
      </c>
      <c r="J7" s="1">
        <f t="shared" si="2"/>
        <v>1.4656552705731825</v>
      </c>
      <c r="K7" s="1">
        <f t="shared" si="3"/>
        <v>0.58778525229247303</v>
      </c>
      <c r="L7" s="1">
        <f t="shared" si="4"/>
        <v>0.80901699437494745</v>
      </c>
    </row>
    <row r="8" spans="2:13" ht="21" customHeight="1" x14ac:dyDescent="0.3">
      <c r="D8" s="14"/>
      <c r="F8" s="6" t="s">
        <v>28</v>
      </c>
      <c r="G8" s="1">
        <v>7</v>
      </c>
      <c r="H8" s="1">
        <f t="shared" si="0"/>
        <v>0.91347088325509684</v>
      </c>
      <c r="I8" s="1">
        <f t="shared" si="1"/>
        <v>1.3674613829946436</v>
      </c>
      <c r="J8" s="1">
        <f t="shared" si="2"/>
        <v>1.6851495951822846</v>
      </c>
      <c r="K8" s="1">
        <f t="shared" si="3"/>
        <v>0.4539904997395468</v>
      </c>
      <c r="L8" s="1">
        <f t="shared" si="4"/>
        <v>0.89100652418836779</v>
      </c>
    </row>
    <row r="9" spans="2:13" ht="21" customHeight="1" x14ac:dyDescent="0.3">
      <c r="C9" s="18" t="s">
        <v>0</v>
      </c>
      <c r="D9" s="12" t="s">
        <v>18</v>
      </c>
      <c r="F9" s="4" t="s">
        <v>29</v>
      </c>
      <c r="G9" s="1">
        <v>8</v>
      </c>
      <c r="H9" s="1">
        <f t="shared" si="0"/>
        <v>0.95573020310700962</v>
      </c>
      <c r="I9" s="1">
        <f t="shared" si="1"/>
        <v>1.2647471974819571</v>
      </c>
      <c r="J9" s="1">
        <f t="shared" si="2"/>
        <v>1.8555759181618687</v>
      </c>
      <c r="K9" s="1">
        <f t="shared" si="3"/>
        <v>0.30901699437494745</v>
      </c>
      <c r="L9" s="1">
        <f t="shared" si="4"/>
        <v>0.95105651629515353</v>
      </c>
    </row>
    <row r="10" spans="2:13" ht="21" customHeight="1" x14ac:dyDescent="0.3">
      <c r="C10" s="19" t="s">
        <v>3</v>
      </c>
      <c r="D10" s="12" t="s">
        <v>31</v>
      </c>
      <c r="G10" s="1">
        <v>9</v>
      </c>
      <c r="H10" s="1">
        <f t="shared" si="0"/>
        <v>0.98798962834586856</v>
      </c>
      <c r="I10" s="1">
        <f t="shared" si="1"/>
        <v>1.1444240933860994</v>
      </c>
      <c r="J10" s="1">
        <f t="shared" si="2"/>
        <v>1.9632166441253112</v>
      </c>
      <c r="K10" s="1">
        <f t="shared" si="3"/>
        <v>0.15643446504023092</v>
      </c>
      <c r="L10" s="1">
        <f t="shared" si="4"/>
        <v>0.98768834059513777</v>
      </c>
    </row>
    <row r="11" spans="2:13" ht="21" customHeight="1" x14ac:dyDescent="0.3">
      <c r="C11" s="19" t="s">
        <v>5</v>
      </c>
      <c r="D11" s="12" t="s">
        <v>32</v>
      </c>
      <c r="E11" s="10" t="s">
        <v>11</v>
      </c>
      <c r="G11" s="1">
        <v>10</v>
      </c>
      <c r="H11" s="1">
        <f t="shared" ref="H11:H12" si="5">K11^2+L11^3</f>
        <v>1</v>
      </c>
      <c r="I11" s="1">
        <f t="shared" ref="I11:I12" si="6">H11+K11</f>
        <v>1</v>
      </c>
      <c r="J11" s="1">
        <f>EXP(-H11+L11) + L11^3</f>
        <v>2</v>
      </c>
      <c r="K11" s="1">
        <f>COS(G11*0.05*PI())</f>
        <v>6.1257422745431001E-17</v>
      </c>
      <c r="L11" s="1">
        <f>SIN(G11*0.05*PI())</f>
        <v>1</v>
      </c>
    </row>
    <row r="12" spans="2:13" ht="21" customHeight="1" x14ac:dyDescent="0.3">
      <c r="C12" s="19" t="s">
        <v>20</v>
      </c>
      <c r="D12" s="12"/>
      <c r="E12" s="15" t="s">
        <v>27</v>
      </c>
      <c r="G12" s="1">
        <v>11</v>
      </c>
      <c r="H12" s="1">
        <f t="shared" si="5"/>
        <v>0.98798962834586834</v>
      </c>
      <c r="I12" s="1">
        <f t="shared" si="6"/>
        <v>0.83155516330563728</v>
      </c>
      <c r="J12" s="1">
        <f>EXP(-H12+L12) + L12^3</f>
        <v>1.9632166441253109</v>
      </c>
      <c r="K12" s="1">
        <f>COS(G12*0.05*PI())</f>
        <v>-0.15643446504023104</v>
      </c>
      <c r="L12" s="1">
        <f>SIN(G12*0.05*PI())</f>
        <v>0.98768834059513766</v>
      </c>
    </row>
    <row r="13" spans="2:13" ht="21" customHeight="1" x14ac:dyDescent="0.3">
      <c r="C13" s="19" t="s">
        <v>25</v>
      </c>
      <c r="D13" s="12"/>
      <c r="E13" s="10"/>
      <c r="G13" s="1">
        <v>12</v>
      </c>
      <c r="H13" s="1">
        <f>K13^2+L13^3</f>
        <v>0.95573020310700973</v>
      </c>
      <c r="I13" s="1">
        <f>H13+K13</f>
        <v>0.64671320873206217</v>
      </c>
      <c r="J13" s="1">
        <f>EXP(-H13+L13) + L13^3</f>
        <v>1.8555759181618685</v>
      </c>
      <c r="K13" s="1">
        <f>COS(G13*0.05*PI())</f>
        <v>-0.30901699437494756</v>
      </c>
      <c r="L13" s="1">
        <f>SIN(G13*0.05*PI())</f>
        <v>0.95105651629515353</v>
      </c>
    </row>
    <row r="14" spans="2:13" ht="21" customHeight="1" x14ac:dyDescent="0.3">
      <c r="C14" s="20" t="s">
        <v>13</v>
      </c>
      <c r="D14" s="12" t="s">
        <v>33</v>
      </c>
      <c r="G14" s="1">
        <v>13</v>
      </c>
      <c r="H14" s="1">
        <f>K14^2+L14^3</f>
        <v>0.91347088325509707</v>
      </c>
      <c r="I14" s="1">
        <f>H14+K14</f>
        <v>0.45948038351555037</v>
      </c>
      <c r="J14" s="1">
        <f>EXP(-H14+L14) + L14^3</f>
        <v>1.6851495951822848</v>
      </c>
      <c r="K14" s="1">
        <f>COS(G14*0.05*PI())</f>
        <v>-0.45399049973954669</v>
      </c>
      <c r="L14" s="1">
        <f>SIN(G14*0.05*PI())</f>
        <v>0.8910065241883679</v>
      </c>
    </row>
    <row r="15" spans="2:13" ht="21" customHeight="1" x14ac:dyDescent="0.3">
      <c r="G15" s="1">
        <v>14</v>
      </c>
      <c r="H15" s="1">
        <f>K15^2+L15^3</f>
        <v>0.87499999999999989</v>
      </c>
      <c r="I15" s="1">
        <f>H15+K15</f>
        <v>0.28721474770752686</v>
      </c>
      <c r="J15" s="1">
        <f>EXP(-H15+L15) + L15^3</f>
        <v>1.4656552705731825</v>
      </c>
      <c r="K15" s="1">
        <f>COS(G15*0.05*PI())</f>
        <v>-0.58778525229247303</v>
      </c>
      <c r="L15" s="1">
        <f>SIN(G15*0.05*PI())</f>
        <v>0.80901699437494745</v>
      </c>
    </row>
    <row r="16" spans="2:13" ht="21" customHeight="1" x14ac:dyDescent="0.3">
      <c r="B16" s="5" t="s">
        <v>8</v>
      </c>
      <c r="G16" s="1">
        <v>15</v>
      </c>
      <c r="H16" s="1">
        <f t="shared" ref="H16:H19" si="7">K16^2+L16^3</f>
        <v>0.85355339059327373</v>
      </c>
      <c r="I16" s="1">
        <f t="shared" ref="I16:I19" si="8">H16+K16</f>
        <v>0.14644660940672627</v>
      </c>
      <c r="J16" s="1">
        <f t="shared" ref="J16:J19" si="9">EXP(-H16+L16) + L16^3</f>
        <v>1.2173252389883822</v>
      </c>
      <c r="K16" s="1">
        <f>COS(G16*0.05*PI())</f>
        <v>-0.70710678118654746</v>
      </c>
      <c r="L16" s="1">
        <f>SIN(G16*0.05*PI())</f>
        <v>0.70710678118654757</v>
      </c>
    </row>
    <row r="17" spans="2:12" ht="21" customHeight="1" x14ac:dyDescent="0.3">
      <c r="B17" s="5"/>
      <c r="E17" s="9" t="s">
        <v>10</v>
      </c>
      <c r="G17" s="1">
        <v>16</v>
      </c>
      <c r="H17" s="1">
        <f t="shared" si="7"/>
        <v>0.85758330733304022</v>
      </c>
      <c r="I17" s="1">
        <f t="shared" si="8"/>
        <v>4.8566312958092883E-2</v>
      </c>
      <c r="J17" s="1">
        <f t="shared" si="9"/>
        <v>0.96660848069046568</v>
      </c>
      <c r="K17" s="1">
        <f>COS(G17*0.05*PI())</f>
        <v>-0.80901699437494734</v>
      </c>
      <c r="L17" s="1">
        <f>SIN(G17*0.05*PI())</f>
        <v>0.58778525229247325</v>
      </c>
    </row>
    <row r="18" spans="2:12" ht="21" customHeight="1" x14ac:dyDescent="0.3">
      <c r="G18" s="1">
        <v>17</v>
      </c>
      <c r="H18" s="1">
        <f t="shared" si="7"/>
        <v>0.8874634158021123</v>
      </c>
      <c r="I18" s="1">
        <f t="shared" si="8"/>
        <v>-3.5431083862557111E-3</v>
      </c>
      <c r="J18" s="1">
        <f t="shared" si="9"/>
        <v>0.74182463930044806</v>
      </c>
      <c r="K18" s="1">
        <f>COS(G18*0.05*PI())</f>
        <v>-0.89100652418836801</v>
      </c>
      <c r="L18" s="1">
        <f>SIN(G18*0.05*PI())</f>
        <v>0.45399049973954647</v>
      </c>
    </row>
    <row r="19" spans="2:12" ht="21" customHeight="1" x14ac:dyDescent="0.3">
      <c r="C19" s="21" t="s">
        <v>9</v>
      </c>
      <c r="D19" s="12" t="str">
        <f>IFERROR(ADDRESS(ROW(Sheet1!data2),COLUMN(Sheet1!data2), 4)&amp;":"&amp;ADDRESS(ROW(Sheet1!data2) +ROWS(Sheet1!data2) -1,COLUMN(Sheet1!data2) +COLUMNS(Sheet1!data2) -1, 4), "--")</f>
        <v>K1:L34</v>
      </c>
      <c r="G19" s="1">
        <v>18</v>
      </c>
      <c r="H19" s="1">
        <f t="shared" si="7"/>
        <v>0.93401699437494734</v>
      </c>
      <c r="I19" s="1">
        <f t="shared" si="8"/>
        <v>-1.7039521920206191E-2</v>
      </c>
      <c r="J19" s="1">
        <f t="shared" si="9"/>
        <v>0.56476992570646412</v>
      </c>
      <c r="K19" s="1">
        <f>COS(G19*0.05*PI())</f>
        <v>-0.95105651629515353</v>
      </c>
      <c r="L19" s="1">
        <f>SIN(G19*0.05*PI())</f>
        <v>0.30901699437494751</v>
      </c>
    </row>
    <row r="20" spans="2:12" ht="21" customHeight="1" x14ac:dyDescent="0.3">
      <c r="G20" s="1">
        <v>19</v>
      </c>
      <c r="H20" s="1">
        <f t="shared" ref="H20:H31" si="10">K20^2+L20^3</f>
        <v>0.97935648199286307</v>
      </c>
      <c r="I20" s="1">
        <f t="shared" ref="I20:I31" si="11">H20+K20</f>
        <v>-8.3318586022745889E-3</v>
      </c>
      <c r="J20" s="1">
        <f t="shared" ref="J20:J31" si="12">EXP(-H20+L20) + L20^3</f>
        <v>0.44297480800336142</v>
      </c>
      <c r="K20" s="1">
        <f t="shared" ref="K20:K31" si="13">COS(G20*0.05*PI())</f>
        <v>-0.98768834059513766</v>
      </c>
      <c r="L20" s="1">
        <f t="shared" ref="L20:L31" si="14">SIN(G20*0.05*PI())</f>
        <v>0.15643446504023098</v>
      </c>
    </row>
    <row r="21" spans="2:12" ht="21" customHeight="1" x14ac:dyDescent="0.3">
      <c r="C21" s="22" t="s">
        <v>0</v>
      </c>
      <c r="D21" s="12" t="s">
        <v>19</v>
      </c>
      <c r="G21" s="1">
        <v>20</v>
      </c>
      <c r="H21" s="1">
        <f t="shared" si="10"/>
        <v>1</v>
      </c>
      <c r="I21" s="1">
        <f t="shared" si="11"/>
        <v>0</v>
      </c>
      <c r="J21" s="1">
        <f t="shared" si="12"/>
        <v>0.36787944117144239</v>
      </c>
      <c r="K21" s="1">
        <f t="shared" si="13"/>
        <v>-1</v>
      </c>
      <c r="L21" s="1">
        <f t="shared" si="14"/>
        <v>1.22514845490862E-16</v>
      </c>
    </row>
    <row r="22" spans="2:12" ht="21" customHeight="1" x14ac:dyDescent="0.3">
      <c r="C22" s="23" t="s">
        <v>3</v>
      </c>
      <c r="D22" s="12" t="s">
        <v>4</v>
      </c>
      <c r="E22" s="11"/>
      <c r="G22" s="1">
        <v>21</v>
      </c>
      <c r="H22" s="1">
        <f t="shared" si="10"/>
        <v>0.97170003430229035</v>
      </c>
      <c r="I22" s="1">
        <f t="shared" si="11"/>
        <v>-1.5988306292847421E-2</v>
      </c>
      <c r="J22" s="1">
        <f t="shared" si="12"/>
        <v>0.31980821377174024</v>
      </c>
      <c r="K22" s="1">
        <f t="shared" si="13"/>
        <v>-0.98768834059513777</v>
      </c>
      <c r="L22" s="1">
        <f t="shared" si="14"/>
        <v>-0.15643446504023073</v>
      </c>
    </row>
    <row r="23" spans="2:12" ht="21" customHeight="1" x14ac:dyDescent="0.3">
      <c r="C23" s="23" t="s">
        <v>5</v>
      </c>
      <c r="D23" s="12" t="s">
        <v>7</v>
      </c>
      <c r="G23" s="1">
        <v>22</v>
      </c>
      <c r="H23" s="1">
        <f t="shared" si="10"/>
        <v>0.87499999999999978</v>
      </c>
      <c r="I23" s="1">
        <f t="shared" si="11"/>
        <v>-7.6056516295153753E-2</v>
      </c>
      <c r="J23" s="1">
        <f t="shared" si="12"/>
        <v>0.27653838029521466</v>
      </c>
      <c r="K23" s="1">
        <f t="shared" si="13"/>
        <v>-0.95105651629515353</v>
      </c>
      <c r="L23" s="1">
        <f t="shared" si="14"/>
        <v>-0.30901699437494773</v>
      </c>
    </row>
    <row r="24" spans="2:12" ht="21" customHeight="1" x14ac:dyDescent="0.3">
      <c r="C24" s="23" t="s">
        <v>20</v>
      </c>
      <c r="D24" s="13" t="s">
        <v>21</v>
      </c>
      <c r="G24" s="1">
        <v>23</v>
      </c>
      <c r="H24" s="1">
        <f t="shared" si="10"/>
        <v>0.70032183649036039</v>
      </c>
      <c r="I24" s="1">
        <f t="shared" si="11"/>
        <v>-0.19068468769800728</v>
      </c>
      <c r="J24" s="1">
        <f t="shared" si="12"/>
        <v>0.22170347541067287</v>
      </c>
      <c r="K24" s="1">
        <f t="shared" si="13"/>
        <v>-0.89100652418836768</v>
      </c>
      <c r="L24" s="1">
        <f t="shared" si="14"/>
        <v>-0.45399049973954708</v>
      </c>
    </row>
    <row r="25" spans="2:12" ht="21" customHeight="1" x14ac:dyDescent="0.3">
      <c r="C25" s="23" t="s">
        <v>25</v>
      </c>
      <c r="D25" s="13" t="s">
        <v>24</v>
      </c>
      <c r="G25" s="1">
        <v>24</v>
      </c>
      <c r="H25" s="1">
        <f t="shared" si="10"/>
        <v>0.45143368704190667</v>
      </c>
      <c r="I25" s="1">
        <f t="shared" si="11"/>
        <v>-0.35758330733304056</v>
      </c>
      <c r="K25" s="1">
        <f t="shared" ref="K25:K34" si="15">COS(G25*0.05*PI())</f>
        <v>-0.80901699437494723</v>
      </c>
      <c r="L25" s="1">
        <f t="shared" ref="L25:L34" si="16">SIN(G25*0.05*PI())</f>
        <v>-0.58778525229247336</v>
      </c>
    </row>
    <row r="26" spans="2:12" ht="21" customHeight="1" x14ac:dyDescent="0.3">
      <c r="C26" s="24" t="s">
        <v>13</v>
      </c>
      <c r="D26" s="12" t="s">
        <v>26</v>
      </c>
      <c r="G26" s="1">
        <v>25</v>
      </c>
      <c r="H26" s="1">
        <f t="shared" si="10"/>
        <v>0.14644660940672655</v>
      </c>
      <c r="I26" s="1">
        <f t="shared" si="11"/>
        <v>-0.56066017177982119</v>
      </c>
      <c r="K26" s="1">
        <f t="shared" si="15"/>
        <v>-0.70710678118654768</v>
      </c>
      <c r="L26" s="1">
        <f t="shared" si="16"/>
        <v>-0.70710678118654746</v>
      </c>
    </row>
    <row r="27" spans="2:12" ht="21" customHeight="1" x14ac:dyDescent="0.3">
      <c r="G27" s="1">
        <v>26</v>
      </c>
      <c r="H27" s="1">
        <f t="shared" si="10"/>
        <v>-0.18401699437494717</v>
      </c>
      <c r="I27" s="1">
        <f t="shared" si="11"/>
        <v>-0.77180224666742037</v>
      </c>
      <c r="K27" s="1">
        <f t="shared" si="15"/>
        <v>-0.58778525229247325</v>
      </c>
      <c r="L27" s="1">
        <f t="shared" si="16"/>
        <v>-0.80901699437494734</v>
      </c>
    </row>
    <row r="28" spans="2:12" ht="21" customHeight="1" x14ac:dyDescent="0.3">
      <c r="B28" s="5" t="s">
        <v>1</v>
      </c>
      <c r="E28" s="9" t="s">
        <v>14</v>
      </c>
      <c r="G28" s="1">
        <v>27</v>
      </c>
      <c r="H28" s="1">
        <f t="shared" si="10"/>
        <v>-0.50125613554756987</v>
      </c>
      <c r="I28" s="1">
        <f t="shared" si="11"/>
        <v>-0.95524663528711673</v>
      </c>
      <c r="J28" s="1">
        <f t="shared" si="12"/>
        <v>-3.0137612722417551E-2</v>
      </c>
      <c r="K28" s="1">
        <f t="shared" si="15"/>
        <v>-0.45399049973954692</v>
      </c>
      <c r="L28" s="1">
        <f t="shared" si="16"/>
        <v>-0.89100652418836779</v>
      </c>
    </row>
    <row r="29" spans="2:12" ht="21" customHeight="1" x14ac:dyDescent="0.3">
      <c r="G29" s="1">
        <v>28</v>
      </c>
      <c r="H29" s="1">
        <f t="shared" si="10"/>
        <v>-0.76474719748195696</v>
      </c>
      <c r="I29" s="1">
        <f t="shared" si="11"/>
        <v>-1.0737641918569045</v>
      </c>
      <c r="J29" s="1">
        <f t="shared" si="12"/>
        <v>-3.0221884840162194E-2</v>
      </c>
      <c r="K29" s="1">
        <f t="shared" si="15"/>
        <v>-0.30901699437494756</v>
      </c>
      <c r="L29" s="1">
        <f t="shared" si="16"/>
        <v>-0.95105651629515353</v>
      </c>
    </row>
    <row r="30" spans="2:12" ht="21" customHeight="1" x14ac:dyDescent="0.3">
      <c r="G30" s="1">
        <v>29</v>
      </c>
      <c r="H30" s="1">
        <f t="shared" si="10"/>
        <v>-0.93904614464102276</v>
      </c>
      <c r="I30" s="1">
        <f t="shared" si="11"/>
        <v>-1.0954806096812528</v>
      </c>
      <c r="J30" s="1">
        <f t="shared" si="12"/>
        <v>-1.0996001576156877E-2</v>
      </c>
      <c r="K30" s="1">
        <f t="shared" si="15"/>
        <v>-0.15643446504023018</v>
      </c>
      <c r="L30" s="1">
        <f t="shared" si="16"/>
        <v>-0.98768834059513788</v>
      </c>
    </row>
    <row r="31" spans="2:12" ht="21" customHeight="1" x14ac:dyDescent="0.3">
      <c r="G31" s="1">
        <v>30</v>
      </c>
      <c r="H31" s="1">
        <f t="shared" si="10"/>
        <v>-1</v>
      </c>
      <c r="I31" s="1">
        <f t="shared" si="11"/>
        <v>-1.0000000000000002</v>
      </c>
      <c r="J31" s="1">
        <f t="shared" si="12"/>
        <v>0</v>
      </c>
      <c r="K31" s="1">
        <f t="shared" si="15"/>
        <v>-1.83772268236293E-16</v>
      </c>
      <c r="L31" s="1">
        <f t="shared" si="16"/>
        <v>-1</v>
      </c>
    </row>
    <row r="32" spans="2:12" ht="21" customHeight="1" x14ac:dyDescent="0.3">
      <c r="G32" s="1">
        <v>31</v>
      </c>
      <c r="H32" s="1">
        <f t="shared" ref="H32:H34" si="17">K32^2+L32^3</f>
        <v>-0.93904614464102221</v>
      </c>
      <c r="I32" s="1">
        <f t="shared" ref="I32:I34" si="18">H32+K32</f>
        <v>-0.78261167960079159</v>
      </c>
      <c r="J32" s="1">
        <f t="shared" ref="J32:J34" si="19">EXP(-H32+L32) + L32^3</f>
        <v>-1.0996001576156988E-2</v>
      </c>
      <c r="K32" s="1">
        <f t="shared" si="15"/>
        <v>0.15643446504023067</v>
      </c>
      <c r="L32" s="1">
        <f t="shared" si="16"/>
        <v>-0.98768834059513777</v>
      </c>
    </row>
    <row r="33" spans="7:12" ht="21" customHeight="1" x14ac:dyDescent="0.3">
      <c r="G33" s="1">
        <v>32</v>
      </c>
      <c r="H33" s="1">
        <f t="shared" si="17"/>
        <v>-0.76474719748195752</v>
      </c>
      <c r="I33" s="1">
        <f t="shared" si="18"/>
        <v>-0.45573020310701029</v>
      </c>
      <c r="J33" s="1">
        <f t="shared" si="19"/>
        <v>-3.0221884840162194E-2</v>
      </c>
      <c r="K33" s="1">
        <f t="shared" si="15"/>
        <v>0.30901699437494723</v>
      </c>
      <c r="L33" s="1">
        <f t="shared" si="16"/>
        <v>-0.95105651629515364</v>
      </c>
    </row>
    <row r="34" spans="7:12" ht="21" customHeight="1" x14ac:dyDescent="0.3">
      <c r="G34" s="1">
        <v>33</v>
      </c>
      <c r="H34" s="1">
        <f t="shared" si="17"/>
        <v>-0.50125613554757043</v>
      </c>
      <c r="I34" s="1">
        <f t="shared" si="18"/>
        <v>-4.7265635808023787E-2</v>
      </c>
      <c r="J34" s="1">
        <f t="shared" si="19"/>
        <v>-3.0137612722417551E-2</v>
      </c>
      <c r="K34" s="1">
        <f t="shared" si="15"/>
        <v>0.45399049973954664</v>
      </c>
      <c r="L34" s="1">
        <f t="shared" si="16"/>
        <v>-0.8910065241883679</v>
      </c>
    </row>
  </sheetData>
  <dataConsolidate/>
  <phoneticPr fontId="1" type="noConversion"/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Sheet1!data1</vt:lpstr>
      <vt:lpstr>Sheet1!data2</vt:lpstr>
      <vt:lpstr>Sheet1!optionName1</vt:lpstr>
      <vt:lpstr>Sheet1!optionName2</vt:lpstr>
      <vt:lpstr>Sheet1!optionVal1</vt:lpstr>
      <vt:lpstr>optionVal2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2023-08-25T05:42:54Z</dcterms:created>
  <dcterms:modified xsi:type="dcterms:W3CDTF">2023-08-27T23:15:54Z</dcterms:modified>
</cp:coreProperties>
</file>